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oq\Downloads\starter-kit (1)\noi-that-website\data\"/>
    </mc:Choice>
  </mc:AlternateContent>
  <xr:revisionPtr revIDLastSave="0" documentId="13_ncr:1_{7B51768D-9572-4C42-8FC5-5B2851EB9CF0}" xr6:coauthVersionLast="47" xr6:coauthVersionMax="47" xr10:uidLastSave="{00000000-0000-0000-0000-000000000000}"/>
  <bookViews>
    <workbookView xWindow="2976" yWindow="1212" windowWidth="17280" windowHeight="8880" xr2:uid="{00000000-000D-0000-FFFF-FFFF00000000}"/>
  </bookViews>
  <sheets>
    <sheet name="DonNoiThat" sheetId="1" r:id="rId1"/>
    <sheet name="SanPhamNT" sheetId="2" r:id="rId2"/>
  </sheets>
  <definedNames>
    <definedName name="_xlnm._FilterDatabase" localSheetId="0" hidden="1">DonNoiThat!$A$1:$H$16</definedName>
  </definedNames>
  <calcPr calcId="191029"/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2" i="1"/>
</calcChain>
</file>

<file path=xl/sharedStrings.xml><?xml version="1.0" encoding="utf-8"?>
<sst xmlns="http://schemas.openxmlformats.org/spreadsheetml/2006/main" count="69" uniqueCount="51">
  <si>
    <t>ma_dnt</t>
  </si>
  <si>
    <t>ngay_giao</t>
  </si>
  <si>
    <t>ma_nt</t>
  </si>
  <si>
    <t>so_chiec</t>
  </si>
  <si>
    <t>ten_noi_that</t>
  </si>
  <si>
    <t>gia_niem_yet</t>
  </si>
  <si>
    <t>gia_tri</t>
  </si>
  <si>
    <t>DNT001</t>
  </si>
  <si>
    <t>2026-01-01</t>
  </si>
  <si>
    <t>BG01</t>
  </si>
  <si>
    <t>DNT002</t>
  </si>
  <si>
    <t>2026-01-02</t>
  </si>
  <si>
    <t>BT01</t>
  </si>
  <si>
    <t>DNT003</t>
  </si>
  <si>
    <t>2026-01-03</t>
  </si>
  <si>
    <t>KS01</t>
  </si>
  <si>
    <t>DNT004</t>
  </si>
  <si>
    <t>2026-01-04</t>
  </si>
  <si>
    <t>GH01</t>
  </si>
  <si>
    <t>DNT005</t>
  </si>
  <si>
    <t>2026-01-05</t>
  </si>
  <si>
    <t>DN01</t>
  </si>
  <si>
    <t>DNT006</t>
  </si>
  <si>
    <t>2026-01-06</t>
  </si>
  <si>
    <t>DNT007</t>
  </si>
  <si>
    <t>2026-01-07</t>
  </si>
  <si>
    <t>SF01</t>
  </si>
  <si>
    <t>DNT008</t>
  </si>
  <si>
    <t>2026-01-08</t>
  </si>
  <si>
    <t>DNT009</t>
  </si>
  <si>
    <t>2026-01-09</t>
  </si>
  <si>
    <t>DNT010</t>
  </si>
  <si>
    <t>2026-01-10</t>
  </si>
  <si>
    <t>TQ01</t>
  </si>
  <si>
    <t>DNT011</t>
  </si>
  <si>
    <t>2026-01-11</t>
  </si>
  <si>
    <t>DNT012</t>
  </si>
  <si>
    <t>2026-01-12</t>
  </si>
  <si>
    <t>DNT013</t>
  </si>
  <si>
    <t>2026-01-13</t>
  </si>
  <si>
    <t>DNT014</t>
  </si>
  <si>
    <t>2026-01-14</t>
  </si>
  <si>
    <t>DNT015</t>
  </si>
  <si>
    <t>2026-01-15</t>
  </si>
  <si>
    <t>Ban go lam viec</t>
  </si>
  <si>
    <t>Ghe xoay van phong</t>
  </si>
  <si>
    <t>Ke sach 5 tang</t>
  </si>
  <si>
    <t>Tu quan ao 3 canh</t>
  </si>
  <si>
    <t>Sofa don</t>
  </si>
  <si>
    <t>Den ngu</t>
  </si>
  <si>
    <t>Ban 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</si>
</sst>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tabSelected="1" topLeftCell="A15" workbookViewId="0">
      <selection activeCell="J2" sqref="J2:J16"/>
    </sheetView>
  </sheetViews>
  <sheetFormatPr defaultRowHeight="14.4" x14ac:dyDescent="0.3"/>
  <cols>
    <col min="1" max="7" width="1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0" x14ac:dyDescent="0.3">
      <c r="A2" t="s">
        <v>7</v>
      </c>
      <c r="B2" t="s">
        <v>8</v>
      </c>
      <c r="C2" t="s">
        <v>9</v>
      </c>
      <c r="D2">
        <v>2</v>
      </c>
      <c r="H2">
        <f>VLOOKUP(C2,SanPhamNT!$A$1:$C$8,3,TRUE)</f>
        <v>2500000</v>
      </c>
      <c r="J2">
        <f>D2*H2</f>
        <v>5000000</v>
      </c>
    </row>
    <row r="3" spans="1:10" x14ac:dyDescent="0.3">
      <c r="A3" t="s">
        <v>10</v>
      </c>
      <c r="B3" t="s">
        <v>11</v>
      </c>
      <c r="C3" t="s">
        <v>12</v>
      </c>
      <c r="D3">
        <v>3</v>
      </c>
      <c r="H3">
        <f>VLOOKUP(C3,SanPhamNT!$A$1:$C$8,3,TRUE)</f>
        <v>2500000</v>
      </c>
      <c r="J3">
        <f t="shared" ref="J3:J16" si="0">D3*H3</f>
        <v>7500000</v>
      </c>
    </row>
    <row r="4" spans="1:10" x14ac:dyDescent="0.3">
      <c r="A4" t="s">
        <v>13</v>
      </c>
      <c r="B4" t="s">
        <v>14</v>
      </c>
      <c r="C4" t="s">
        <v>15</v>
      </c>
      <c r="D4">
        <v>2</v>
      </c>
      <c r="H4">
        <f>VLOOKUP(C4,SanPhamNT!$A$1:$C$8,3,TRUE)</f>
        <v>900000</v>
      </c>
      <c r="J4">
        <f t="shared" si="0"/>
        <v>1800000</v>
      </c>
    </row>
    <row r="5" spans="1:10" x14ac:dyDescent="0.3">
      <c r="A5" t="s">
        <v>16</v>
      </c>
      <c r="B5" t="s">
        <v>17</v>
      </c>
      <c r="C5" t="s">
        <v>18</v>
      </c>
      <c r="D5">
        <v>2</v>
      </c>
      <c r="H5">
        <f>VLOOKUP(C5,SanPhamNT!$A$1:$C$8,3,TRUE)</f>
        <v>1200000</v>
      </c>
      <c r="J5">
        <f t="shared" si="0"/>
        <v>2400000</v>
      </c>
    </row>
    <row r="6" spans="1:10" x14ac:dyDescent="0.3">
      <c r="A6" t="s">
        <v>19</v>
      </c>
      <c r="B6" t="s">
        <v>20</v>
      </c>
      <c r="C6" t="s">
        <v>21</v>
      </c>
      <c r="D6">
        <v>4</v>
      </c>
      <c r="H6">
        <f>VLOOKUP(C6,SanPhamNT!$A$1:$C$8,3,TRUE)</f>
        <v>2500000</v>
      </c>
      <c r="J6">
        <f t="shared" si="0"/>
        <v>10000000</v>
      </c>
    </row>
    <row r="7" spans="1:10" x14ac:dyDescent="0.3">
      <c r="A7" t="s">
        <v>22</v>
      </c>
      <c r="B7" t="s">
        <v>23</v>
      </c>
      <c r="C7" t="s">
        <v>9</v>
      </c>
      <c r="D7">
        <v>2</v>
      </c>
      <c r="H7">
        <f>VLOOKUP(C7,SanPhamNT!$A$1:$C$8,3,TRUE)</f>
        <v>2500000</v>
      </c>
      <c r="J7">
        <f t="shared" si="0"/>
        <v>5000000</v>
      </c>
    </row>
    <row r="8" spans="1:10" x14ac:dyDescent="0.3">
      <c r="A8" t="s">
        <v>24</v>
      </c>
      <c r="B8" t="s">
        <v>25</v>
      </c>
      <c r="C8" t="s">
        <v>26</v>
      </c>
      <c r="D8">
        <v>1</v>
      </c>
      <c r="H8">
        <f>VLOOKUP(C8,SanPhamNT!$A$1:$C$8,3,TRUE)</f>
        <v>3500000</v>
      </c>
      <c r="J8">
        <f t="shared" si="0"/>
        <v>3500000</v>
      </c>
    </row>
    <row r="9" spans="1:10" x14ac:dyDescent="0.3">
      <c r="A9" t="s">
        <v>27</v>
      </c>
      <c r="B9" t="s">
        <v>28</v>
      </c>
      <c r="C9" t="s">
        <v>18</v>
      </c>
      <c r="D9">
        <v>5</v>
      </c>
      <c r="H9">
        <f>VLOOKUP(C9,SanPhamNT!$A$1:$C$8,3,TRUE)</f>
        <v>1200000</v>
      </c>
      <c r="J9">
        <f t="shared" si="0"/>
        <v>6000000</v>
      </c>
    </row>
    <row r="10" spans="1:10" x14ac:dyDescent="0.3">
      <c r="A10" t="s">
        <v>29</v>
      </c>
      <c r="B10" t="s">
        <v>30</v>
      </c>
      <c r="C10" t="s">
        <v>9</v>
      </c>
      <c r="D10">
        <v>2</v>
      </c>
      <c r="H10">
        <f>VLOOKUP(C10,SanPhamNT!$A$1:$C$8,3,TRUE)</f>
        <v>2500000</v>
      </c>
      <c r="J10">
        <f t="shared" si="0"/>
        <v>5000000</v>
      </c>
    </row>
    <row r="11" spans="1:10" x14ac:dyDescent="0.3">
      <c r="A11" t="s">
        <v>31</v>
      </c>
      <c r="B11" t="s">
        <v>32</v>
      </c>
      <c r="C11" t="s">
        <v>33</v>
      </c>
      <c r="D11">
        <v>4</v>
      </c>
      <c r="H11">
        <f>VLOOKUP(C11,SanPhamNT!$A$1:$C$8,3,TRUE)</f>
        <v>1500000</v>
      </c>
      <c r="J11">
        <f t="shared" si="0"/>
        <v>6000000</v>
      </c>
    </row>
    <row r="12" spans="1:10" x14ac:dyDescent="0.3">
      <c r="A12" t="s">
        <v>34</v>
      </c>
      <c r="B12" t="s">
        <v>35</v>
      </c>
      <c r="C12" t="s">
        <v>18</v>
      </c>
      <c r="D12">
        <v>3</v>
      </c>
      <c r="H12">
        <f>VLOOKUP(C12,SanPhamNT!$A$1:$C$8,3,TRUE)</f>
        <v>1200000</v>
      </c>
      <c r="J12">
        <f t="shared" si="0"/>
        <v>3600000</v>
      </c>
    </row>
    <row r="13" spans="1:10" x14ac:dyDescent="0.3">
      <c r="A13" t="s">
        <v>36</v>
      </c>
      <c r="B13" t="s">
        <v>37</v>
      </c>
      <c r="C13" t="s">
        <v>12</v>
      </c>
      <c r="D13">
        <v>4</v>
      </c>
      <c r="H13">
        <f>VLOOKUP(C13,SanPhamNT!$A$1:$C$8,3,TRUE)</f>
        <v>2500000</v>
      </c>
      <c r="J13">
        <f t="shared" si="0"/>
        <v>10000000</v>
      </c>
    </row>
    <row r="14" spans="1:10" x14ac:dyDescent="0.3">
      <c r="A14" t="s">
        <v>38</v>
      </c>
      <c r="B14" t="s">
        <v>39</v>
      </c>
      <c r="C14" t="s">
        <v>12</v>
      </c>
      <c r="D14">
        <v>2</v>
      </c>
      <c r="H14">
        <f>VLOOKUP(C14,SanPhamNT!$A$1:$C$8,3,TRUE)</f>
        <v>2500000</v>
      </c>
      <c r="J14">
        <f t="shared" si="0"/>
        <v>5000000</v>
      </c>
    </row>
    <row r="15" spans="1:10" x14ac:dyDescent="0.3">
      <c r="A15" t="s">
        <v>40</v>
      </c>
      <c r="B15" t="s">
        <v>41</v>
      </c>
      <c r="C15" t="s">
        <v>15</v>
      </c>
      <c r="D15">
        <v>1</v>
      </c>
      <c r="H15">
        <f>VLOOKUP(C15,SanPhamNT!$A$1:$C$8,3,TRUE)</f>
        <v>900000</v>
      </c>
      <c r="J15">
        <f t="shared" si="0"/>
        <v>900000</v>
      </c>
    </row>
    <row r="16" spans="1:10" x14ac:dyDescent="0.3">
      <c r="A16" t="s">
        <v>42</v>
      </c>
      <c r="B16" t="s">
        <v>43</v>
      </c>
      <c r="C16" t="s">
        <v>15</v>
      </c>
      <c r="D16">
        <v>4</v>
      </c>
      <c r="H16">
        <f>VLOOKUP(C16,SanPhamNT!$A$1:$C$8,3,TRUE)</f>
        <v>900000</v>
      </c>
      <c r="J16">
        <f t="shared" si="0"/>
        <v>3600000</v>
      </c>
    </row>
  </sheetData>
  <autoFilter ref="A1:H16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/>
  </sheetViews>
  <sheetFormatPr defaultRowHeight="14.4" x14ac:dyDescent="0.3"/>
  <cols>
    <col min="1" max="7" width="15" customWidth="1"/>
  </cols>
  <sheetData>
    <row r="1" spans="1:3" x14ac:dyDescent="0.3">
      <c r="A1" t="s">
        <v>2</v>
      </c>
      <c r="B1" t="s">
        <v>4</v>
      </c>
      <c r="C1" t="s">
        <v>5</v>
      </c>
    </row>
    <row r="2" spans="1:3" x14ac:dyDescent="0.3">
      <c r="A2" t="s">
        <v>9</v>
      </c>
      <c r="B2" t="s">
        <v>44</v>
      </c>
      <c r="C2">
        <v>2500000</v>
      </c>
    </row>
    <row r="3" spans="1:3" x14ac:dyDescent="0.3">
      <c r="A3" t="s">
        <v>18</v>
      </c>
      <c r="B3" t="s">
        <v>45</v>
      </c>
      <c r="C3">
        <v>1200000</v>
      </c>
    </row>
    <row r="4" spans="1:3" x14ac:dyDescent="0.3">
      <c r="A4" t="s">
        <v>15</v>
      </c>
      <c r="B4" t="s">
        <v>46</v>
      </c>
      <c r="C4">
        <v>900000</v>
      </c>
    </row>
    <row r="5" spans="1:3" x14ac:dyDescent="0.3">
      <c r="A5" t="s">
        <v>33</v>
      </c>
      <c r="B5" t="s">
        <v>47</v>
      </c>
      <c r="C5">
        <v>4500000</v>
      </c>
    </row>
    <row r="6" spans="1:3" x14ac:dyDescent="0.3">
      <c r="A6" t="s">
        <v>26</v>
      </c>
      <c r="B6" t="s">
        <v>48</v>
      </c>
      <c r="C6">
        <v>3500000</v>
      </c>
    </row>
    <row r="7" spans="1:3" x14ac:dyDescent="0.3">
      <c r="A7" t="s">
        <v>21</v>
      </c>
      <c r="B7" t="s">
        <v>49</v>
      </c>
      <c r="C7">
        <v>400000</v>
      </c>
    </row>
    <row r="8" spans="1:3" x14ac:dyDescent="0.3">
      <c r="A8" t="s">
        <v>12</v>
      </c>
      <c r="B8" t="s">
        <v>50</v>
      </c>
      <c r="C8">
        <v>1500000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DonNoiThat</vt:lpstr>
      <vt:lpstr>SanPhamNT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Đỗ Thành</cp:lastModifiedBy>
  <dcterms:created xsi:type="dcterms:W3CDTF">2026-10-27T01:32:31Z</dcterms:created>
  <dcterms:modified xsi:type="dcterms:W3CDTF">2026-10-28T07:47:03Z</dcterms:modified>
</cp:coreProperties>
</file>